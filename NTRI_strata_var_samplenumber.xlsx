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sley.atwood\Desktop\GitHub\NTRI\"/>
    </mc:Choice>
  </mc:AlternateContent>
  <xr:revisionPtr revIDLastSave="0" documentId="13_ncr:1_{9BE12F41-6588-40DF-BB8C-D9BE4938459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sults_combined" sheetId="4" r:id="rId1"/>
    <sheet name="strata3_results" sheetId="1" r:id="rId2"/>
    <sheet name="strata4_results" sheetId="3" r:id="rId3"/>
    <sheet name="strata5_result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2" l="1"/>
  <c r="H7" i="2"/>
  <c r="G7" i="2"/>
  <c r="I6" i="3"/>
  <c r="H6" i="3"/>
  <c r="G6" i="3"/>
  <c r="I21" i="4"/>
  <c r="H21" i="4"/>
  <c r="G21" i="4"/>
  <c r="I12" i="4"/>
  <c r="H12" i="4"/>
  <c r="G12" i="4"/>
  <c r="I5" i="4"/>
  <c r="H5" i="4"/>
  <c r="G5" i="4"/>
  <c r="H5" i="1"/>
  <c r="I5" i="1"/>
  <c r="G5" i="1"/>
</calcChain>
</file>

<file path=xl/sharedStrings.xml><?xml version="1.0" encoding="utf-8"?>
<sst xmlns="http://schemas.openxmlformats.org/spreadsheetml/2006/main" count="66" uniqueCount="13">
  <si>
    <t>strata</t>
  </si>
  <si>
    <t>mean_SOC.tC.ha</t>
  </si>
  <si>
    <t>sd_SOC.tC.ha</t>
  </si>
  <si>
    <t>area_km2</t>
  </si>
  <si>
    <t>area_total_km2</t>
  </si>
  <si>
    <t>area_proportion</t>
  </si>
  <si>
    <t>n.power_0.35tC.ha.yr</t>
  </si>
  <si>
    <t>n.power_0.213tC.ha.yr</t>
  </si>
  <si>
    <t>n.CDM</t>
  </si>
  <si>
    <t>total samples</t>
  </si>
  <si>
    <t>5 strata</t>
  </si>
  <si>
    <t>4 strata</t>
  </si>
  <si>
    <t>3 strata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</si>
</sst>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1" fontId="0" fillId="0" borderId="0" xfId="0" applyNumberFormat="1"/>
    <xf numFmtId="0" fontId="16" fillId="0" borderId="0" xfId="0" applyFont="1" applyAlignment="1">
      <alignment horizontal="right"/>
    </xf>
    <xf numFmtId="0" fontId="0" fillId="0" borderId="10" xfId="0" applyBorder="1"/>
    <xf numFmtId="0" fontId="16" fillId="0" borderId="11" xfId="0" applyFont="1" applyBorder="1" applyAlignment="1">
      <alignment horizontal="right"/>
    </xf>
    <xf numFmtId="0" fontId="16" fillId="0" borderId="12" xfId="0" applyFont="1" applyBorder="1" applyAlignment="1">
      <alignment horizontal="right"/>
    </xf>
    <xf numFmtId="0" fontId="0" fillId="0" borderId="13" xfId="0" applyBorder="1"/>
    <xf numFmtId="1" fontId="0" fillId="0" borderId="0" xfId="0" applyNumberFormat="1" applyBorder="1"/>
    <xf numFmtId="1" fontId="0" fillId="0" borderId="14" xfId="0" applyNumberFormat="1" applyBorder="1"/>
    <xf numFmtId="0" fontId="0" fillId="0" borderId="15" xfId="0" applyBorder="1"/>
    <xf numFmtId="1" fontId="0" fillId="0" borderId="16" xfId="0" applyNumberFormat="1" applyBorder="1"/>
    <xf numFmtId="1" fontId="0" fillId="0" borderId="17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E26" sqref="E26"/>
    </sheetView>
  </sheetViews>
  <sheetFormatPr defaultRowHeight="14.5" x14ac:dyDescent="0.35"/>
  <cols>
    <col min="12" max="12" width="7.08984375" bestFit="1" customWidth="1"/>
    <col min="13" max="13" width="19.1796875" bestFit="1" customWidth="1"/>
    <col min="14" max="14" width="20.1796875" bestFit="1" customWidth="1"/>
    <col min="15" max="15" width="6.63281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4"/>
      <c r="M1" s="5" t="s">
        <v>6</v>
      </c>
      <c r="N1" s="5" t="s">
        <v>7</v>
      </c>
      <c r="O1" s="6" t="s">
        <v>8</v>
      </c>
      <c r="P1" s="1"/>
      <c r="Q1" s="1"/>
    </row>
    <row r="2" spans="1:17" x14ac:dyDescent="0.35">
      <c r="A2">
        <v>1</v>
      </c>
      <c r="B2">
        <v>12.5598827627442</v>
      </c>
      <c r="C2">
        <v>0.69156289120129599</v>
      </c>
      <c r="D2">
        <v>3139.1530316952799</v>
      </c>
      <c r="E2">
        <v>8307.7715865800801</v>
      </c>
      <c r="F2">
        <v>0.37785740724577699</v>
      </c>
      <c r="G2">
        <v>32.616115542794603</v>
      </c>
      <c r="H2">
        <v>84.680107197074506</v>
      </c>
      <c r="I2">
        <v>66.187982420322896</v>
      </c>
      <c r="L2" s="7" t="s">
        <v>12</v>
      </c>
      <c r="M2" s="8">
        <v>259.20697552825072</v>
      </c>
      <c r="N2" s="8">
        <v>689.87188404536948</v>
      </c>
      <c r="O2" s="9">
        <v>236.48056035272839</v>
      </c>
    </row>
    <row r="3" spans="1:17" x14ac:dyDescent="0.35">
      <c r="A3">
        <v>2</v>
      </c>
      <c r="B3">
        <v>10.3407158579003</v>
      </c>
      <c r="C3">
        <v>0.93796304687734999</v>
      </c>
      <c r="D3">
        <v>4073.23519103442</v>
      </c>
      <c r="E3">
        <v>8307.7715865800801</v>
      </c>
      <c r="F3">
        <v>0.49029214977625302</v>
      </c>
      <c r="G3">
        <v>58.3192480242461</v>
      </c>
      <c r="H3">
        <v>154.13360696168101</v>
      </c>
      <c r="I3">
        <v>116.482367684861</v>
      </c>
      <c r="L3" s="7" t="s">
        <v>11</v>
      </c>
      <c r="M3" s="8">
        <v>257.39297111804842</v>
      </c>
      <c r="N3" s="8">
        <v>681.36468372921502</v>
      </c>
      <c r="O3" s="9">
        <v>139.02857295026399</v>
      </c>
    </row>
    <row r="4" spans="1:17" ht="15" thickBot="1" x14ac:dyDescent="0.4">
      <c r="A4">
        <v>3</v>
      </c>
      <c r="B4">
        <v>15.7992860847251</v>
      </c>
      <c r="C4">
        <v>1.6112523891521799</v>
      </c>
      <c r="D4">
        <v>1095.38336385038</v>
      </c>
      <c r="E4">
        <v>8307.7715865800801</v>
      </c>
      <c r="F4">
        <v>0.13185044297796999</v>
      </c>
      <c r="G4">
        <v>168.27161196121</v>
      </c>
      <c r="H4">
        <v>451.058169886614</v>
      </c>
      <c r="I4">
        <v>53.810210247544497</v>
      </c>
      <c r="L4" s="10" t="s">
        <v>10</v>
      </c>
      <c r="M4" s="11">
        <v>266.09259156502372</v>
      </c>
      <c r="N4" s="11">
        <v>701.08015793285824</v>
      </c>
      <c r="O4" s="12">
        <v>103.31043529276002</v>
      </c>
    </row>
    <row r="5" spans="1:17" x14ac:dyDescent="0.35">
      <c r="F5" s="1" t="s">
        <v>9</v>
      </c>
      <c r="G5" s="1">
        <f>SUM(G2:G4)</f>
        <v>259.20697552825072</v>
      </c>
      <c r="H5" s="1">
        <f t="shared" ref="H5:I5" si="0">SUM(H2:H4)</f>
        <v>689.87188404536948</v>
      </c>
      <c r="I5" s="1">
        <f t="shared" si="0"/>
        <v>236.48056035272839</v>
      </c>
    </row>
    <row r="7" spans="1:17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</row>
    <row r="8" spans="1:17" x14ac:dyDescent="0.35">
      <c r="A8">
        <v>1</v>
      </c>
      <c r="B8">
        <v>9.4948905706948104</v>
      </c>
      <c r="C8">
        <v>0.840624869204741</v>
      </c>
      <c r="D8">
        <v>1752.1085886334599</v>
      </c>
      <c r="E8">
        <v>8307.7715865800801</v>
      </c>
      <c r="F8">
        <v>0.21089994716076699</v>
      </c>
      <c r="G8">
        <v>47.233568189532399</v>
      </c>
      <c r="H8">
        <v>124.185564734351</v>
      </c>
      <c r="I8">
        <v>34.431229885508998</v>
      </c>
    </row>
    <row r="9" spans="1:17" x14ac:dyDescent="0.35">
      <c r="A9">
        <v>2</v>
      </c>
      <c r="B9">
        <v>12.849772963684799</v>
      </c>
      <c r="C9">
        <v>0.66097650451516599</v>
      </c>
      <c r="D9">
        <v>2561.9436097725202</v>
      </c>
      <c r="E9">
        <v>8307.7715865800801</v>
      </c>
      <c r="F9">
        <v>0.30837915836671997</v>
      </c>
      <c r="G9">
        <v>29.970080608380201</v>
      </c>
      <c r="H9">
        <v>77.525034814733999</v>
      </c>
      <c r="I9">
        <v>39.586296377340197</v>
      </c>
    </row>
    <row r="10" spans="1:17" x14ac:dyDescent="0.35">
      <c r="A10">
        <v>3</v>
      </c>
      <c r="B10">
        <v>11.1525385676794</v>
      </c>
      <c r="C10">
        <v>0.39577408231472699</v>
      </c>
      <c r="D10">
        <v>3005.4471415377702</v>
      </c>
      <c r="E10">
        <v>8307.7715865800801</v>
      </c>
      <c r="F10">
        <v>0.36176333330981397</v>
      </c>
      <c r="G10">
        <v>12.0960819840338</v>
      </c>
      <c r="H10">
        <v>29.077557149276998</v>
      </c>
      <c r="I10">
        <v>27.8064616124881</v>
      </c>
    </row>
    <row r="11" spans="1:17" x14ac:dyDescent="0.35">
      <c r="A11">
        <v>4</v>
      </c>
      <c r="B11">
        <v>15.9658852448026</v>
      </c>
      <c r="C11">
        <v>1.6103882111674499</v>
      </c>
      <c r="D11">
        <v>988.27224663632398</v>
      </c>
      <c r="E11">
        <v>8307.7715865800801</v>
      </c>
      <c r="F11">
        <v>0.118957561162698</v>
      </c>
      <c r="G11">
        <v>168.09324033610201</v>
      </c>
      <c r="H11">
        <v>450.57652703085301</v>
      </c>
      <c r="I11">
        <v>37.204585074926698</v>
      </c>
    </row>
    <row r="12" spans="1:17" x14ac:dyDescent="0.35">
      <c r="F12" s="1" t="s">
        <v>9</v>
      </c>
      <c r="G12" s="1">
        <f>SUM(G8:G11)</f>
        <v>257.39297111804842</v>
      </c>
      <c r="H12" s="1">
        <f t="shared" ref="H12:I12" si="1">SUM(H8:H11)</f>
        <v>681.36468372921502</v>
      </c>
      <c r="I12" s="1">
        <f t="shared" si="1"/>
        <v>139.02857295026399</v>
      </c>
    </row>
    <row r="15" spans="1:17" x14ac:dyDescent="0.3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</row>
    <row r="16" spans="1:17" x14ac:dyDescent="0.35">
      <c r="A16">
        <v>1</v>
      </c>
      <c r="B16">
        <v>11.189593827459699</v>
      </c>
      <c r="C16">
        <v>0.37007675863376599</v>
      </c>
      <c r="D16">
        <v>2856.13909484131</v>
      </c>
      <c r="E16">
        <v>8307.7715865800801</v>
      </c>
      <c r="F16">
        <v>0.3437912399343</v>
      </c>
      <c r="G16">
        <v>10.8505853025394</v>
      </c>
      <c r="H16">
        <v>25.680554548560799</v>
      </c>
      <c r="I16">
        <v>21.3000445668841</v>
      </c>
    </row>
    <row r="17" spans="1:9" x14ac:dyDescent="0.35">
      <c r="A17">
        <v>2</v>
      </c>
      <c r="B17">
        <v>8.2041877516252804</v>
      </c>
      <c r="C17">
        <v>0.86149004766085002</v>
      </c>
      <c r="D17">
        <v>397.97272987246299</v>
      </c>
      <c r="E17">
        <v>8307.7715865800801</v>
      </c>
      <c r="F17">
        <v>4.7903667755541897E-2</v>
      </c>
      <c r="G17">
        <v>49.507444626477003</v>
      </c>
      <c r="H17">
        <v>130.32903885948701</v>
      </c>
      <c r="I17">
        <v>6.9089639302923498</v>
      </c>
    </row>
    <row r="18" spans="1:9" x14ac:dyDescent="0.35">
      <c r="A18">
        <v>3</v>
      </c>
      <c r="B18">
        <v>12.849772963684799</v>
      </c>
      <c r="C18">
        <v>0.66097650451516599</v>
      </c>
      <c r="D18">
        <v>2561.9436097725202</v>
      </c>
      <c r="E18">
        <v>8307.7715865800801</v>
      </c>
      <c r="F18">
        <v>0.30837915836671997</v>
      </c>
      <c r="G18">
        <v>29.970080608380201</v>
      </c>
      <c r="H18">
        <v>77.525034814733999</v>
      </c>
      <c r="I18">
        <v>34.1243930085367</v>
      </c>
    </row>
    <row r="19" spans="1:9" x14ac:dyDescent="0.35">
      <c r="A19">
        <v>4</v>
      </c>
      <c r="B19">
        <v>15.9658852448026</v>
      </c>
      <c r="C19">
        <v>1.6103882111674499</v>
      </c>
      <c r="D19">
        <v>988.27224663632398</v>
      </c>
      <c r="E19">
        <v>8307.7715865800801</v>
      </c>
      <c r="F19">
        <v>0.118957561162698</v>
      </c>
      <c r="G19">
        <v>168.09324033610201</v>
      </c>
      <c r="H19">
        <v>450.57652703085301</v>
      </c>
      <c r="I19">
        <v>32.0712973680223</v>
      </c>
    </row>
    <row r="20" spans="1:9" x14ac:dyDescent="0.35">
      <c r="A20">
        <v>5</v>
      </c>
      <c r="B20">
        <v>9.9304100174222505</v>
      </c>
      <c r="C20">
        <v>0.293949862749732</v>
      </c>
      <c r="D20">
        <v>1503.44390545745</v>
      </c>
      <c r="E20">
        <v>8307.7715865800801</v>
      </c>
      <c r="F20">
        <v>0.18096837278073899</v>
      </c>
      <c r="G20">
        <v>7.6712406915250897</v>
      </c>
      <c r="H20">
        <v>16.969002679223401</v>
      </c>
      <c r="I20">
        <v>8.9057364190245707</v>
      </c>
    </row>
    <row r="21" spans="1:9" x14ac:dyDescent="0.35">
      <c r="F21" s="1" t="s">
        <v>9</v>
      </c>
      <c r="G21" s="1">
        <f>SUM(G16:G20)</f>
        <v>266.09259156502372</v>
      </c>
      <c r="H21" s="1">
        <f t="shared" ref="H21:I21" si="2">SUM(H16:H20)</f>
        <v>701.08015793285824</v>
      </c>
      <c r="I21" s="1">
        <f t="shared" si="2"/>
        <v>103.31043529276002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"/>
  <sheetViews>
    <sheetView workbookViewId="0">
      <selection activeCell="A6" sqref="A6:J25"/>
    </sheetView>
  </sheetViews>
  <sheetFormatPr defaultRowHeight="14.5" x14ac:dyDescent="0.35"/>
  <cols>
    <col min="1" max="1" width="5.7265625" bestFit="1" customWidth="1"/>
    <col min="2" max="2" width="15.08984375" bestFit="1" customWidth="1"/>
    <col min="3" max="3" width="12.08984375" bestFit="1" customWidth="1"/>
    <col min="4" max="4" width="11.81640625" bestFit="1" customWidth="1"/>
    <col min="5" max="5" width="14.1796875" bestFit="1" customWidth="1"/>
    <col min="6" max="6" width="14.81640625" bestFit="1" customWidth="1"/>
    <col min="7" max="7" width="19.1796875" bestFit="1" customWidth="1"/>
    <col min="8" max="8" width="20.1796875" bestFit="1" customWidth="1"/>
    <col min="9" max="9" width="11.81640625" bestFit="1" customWidth="1"/>
    <col min="15" max="15" width="19.1796875" bestFit="1" customWidth="1"/>
    <col min="16" max="16" width="20.1796875" bestFit="1" customWidth="1"/>
    <col min="17" max="17" width="11.81640625" bestFit="1" customWidth="1"/>
  </cols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7" x14ac:dyDescent="0.35">
      <c r="A2">
        <v>1</v>
      </c>
      <c r="B2">
        <v>12.5598827627442</v>
      </c>
      <c r="C2">
        <v>0.69156289120129599</v>
      </c>
      <c r="D2">
        <v>3139.1530316952799</v>
      </c>
      <c r="E2">
        <v>8307.7715865800801</v>
      </c>
      <c r="F2">
        <v>0.37785740724577699</v>
      </c>
      <c r="G2">
        <v>32.616115542794603</v>
      </c>
      <c r="H2">
        <v>84.680107197074506</v>
      </c>
      <c r="I2">
        <v>66.187982420322896</v>
      </c>
    </row>
    <row r="3" spans="1:17" x14ac:dyDescent="0.35">
      <c r="A3">
        <v>2</v>
      </c>
      <c r="B3">
        <v>10.3407158579003</v>
      </c>
      <c r="C3">
        <v>0.93796304687734999</v>
      </c>
      <c r="D3">
        <v>4073.23519103442</v>
      </c>
      <c r="E3">
        <v>8307.7715865800801</v>
      </c>
      <c r="F3">
        <v>0.49029214977625302</v>
      </c>
      <c r="G3">
        <v>58.3192480242461</v>
      </c>
      <c r="H3">
        <v>154.13360696168101</v>
      </c>
      <c r="I3">
        <v>116.482367684861</v>
      </c>
    </row>
    <row r="4" spans="1:17" x14ac:dyDescent="0.35">
      <c r="A4">
        <v>3</v>
      </c>
      <c r="B4">
        <v>15.7992860847251</v>
      </c>
      <c r="C4">
        <v>1.6112523891521799</v>
      </c>
      <c r="D4">
        <v>1095.38336385038</v>
      </c>
      <c r="E4">
        <v>8307.7715865800801</v>
      </c>
      <c r="F4">
        <v>0.13185044297796999</v>
      </c>
      <c r="G4">
        <v>168.27161196121</v>
      </c>
      <c r="H4">
        <v>451.058169886614</v>
      </c>
      <c r="I4">
        <v>53.810210247544497</v>
      </c>
    </row>
    <row r="5" spans="1:17" x14ac:dyDescent="0.35">
      <c r="F5" s="1" t="s">
        <v>9</v>
      </c>
      <c r="G5" s="1">
        <f>SUM(G2:G4)</f>
        <v>259.20697552825072</v>
      </c>
      <c r="H5" s="1">
        <f t="shared" ref="H5:I5" si="0">SUM(H2:H4)</f>
        <v>689.87188404536948</v>
      </c>
      <c r="I5" s="1">
        <f t="shared" si="0"/>
        <v>236.48056035272839</v>
      </c>
    </row>
    <row r="12" spans="1:17" x14ac:dyDescent="0.35">
      <c r="F12" s="1"/>
      <c r="G12" s="1"/>
      <c r="H12" s="1"/>
      <c r="I12" s="1"/>
      <c r="O12" s="3"/>
      <c r="P12" s="3"/>
      <c r="Q12" s="3"/>
    </row>
    <row r="13" spans="1:17" x14ac:dyDescent="0.35">
      <c r="O13" s="2"/>
      <c r="P13" s="2"/>
      <c r="Q13" s="2"/>
    </row>
    <row r="14" spans="1:17" x14ac:dyDescent="0.35">
      <c r="O14" s="2"/>
      <c r="P14" s="2"/>
      <c r="Q14" s="2"/>
    </row>
    <row r="15" spans="1:17" x14ac:dyDescent="0.35">
      <c r="O15" s="2"/>
      <c r="P15" s="2"/>
      <c r="Q15" s="2"/>
    </row>
    <row r="21" spans="6:9" x14ac:dyDescent="0.35">
      <c r="F21" s="1"/>
      <c r="G21" s="1"/>
      <c r="H21" s="1"/>
      <c r="I21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>
      <selection activeCell="F16" sqref="F16"/>
    </sheetView>
  </sheetViews>
  <sheetFormatPr defaultRowHeight="14.5" x14ac:dyDescent="0.35"/>
  <cols>
    <col min="1" max="1" width="5.7265625" bestFit="1" customWidth="1"/>
    <col min="2" max="2" width="15.08984375" bestFit="1" customWidth="1"/>
    <col min="3" max="3" width="12.08984375" bestFit="1" customWidth="1"/>
    <col min="4" max="4" width="11.81640625" bestFit="1" customWidth="1"/>
    <col min="5" max="5" width="14.1796875" bestFit="1" customWidth="1"/>
    <col min="6" max="6" width="14.81640625" bestFit="1" customWidth="1"/>
    <col min="7" max="7" width="19.1796875" bestFit="1" customWidth="1"/>
    <col min="8" max="8" width="20.1796875" bestFit="1" customWidth="1"/>
    <col min="9" max="9" width="11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9.4948905706948104</v>
      </c>
      <c r="C2">
        <v>0.840624869204741</v>
      </c>
      <c r="D2">
        <v>1752.1085886334599</v>
      </c>
      <c r="E2">
        <v>8307.7715865800801</v>
      </c>
      <c r="F2">
        <v>0.21089994716076699</v>
      </c>
      <c r="G2">
        <v>47.233568189532399</v>
      </c>
      <c r="H2">
        <v>124.185564734351</v>
      </c>
      <c r="I2">
        <v>34.431229885508998</v>
      </c>
    </row>
    <row r="3" spans="1:9" x14ac:dyDescent="0.35">
      <c r="A3">
        <v>2</v>
      </c>
      <c r="B3">
        <v>12.849772963684799</v>
      </c>
      <c r="C3">
        <v>0.66097650451516599</v>
      </c>
      <c r="D3">
        <v>2561.9436097725202</v>
      </c>
      <c r="E3">
        <v>8307.7715865800801</v>
      </c>
      <c r="F3">
        <v>0.30837915836671997</v>
      </c>
      <c r="G3">
        <v>29.970080608380201</v>
      </c>
      <c r="H3">
        <v>77.525034814733999</v>
      </c>
      <c r="I3">
        <v>39.586296377340197</v>
      </c>
    </row>
    <row r="4" spans="1:9" x14ac:dyDescent="0.35">
      <c r="A4">
        <v>3</v>
      </c>
      <c r="B4">
        <v>11.1525385676794</v>
      </c>
      <c r="C4">
        <v>0.39577408231472699</v>
      </c>
      <c r="D4">
        <v>3005.4471415377702</v>
      </c>
      <c r="E4">
        <v>8307.7715865800801</v>
      </c>
      <c r="F4">
        <v>0.36176333330981397</v>
      </c>
      <c r="G4">
        <v>12.0960819840338</v>
      </c>
      <c r="H4">
        <v>29.077557149276998</v>
      </c>
      <c r="I4">
        <v>27.8064616124881</v>
      </c>
    </row>
    <row r="5" spans="1:9" x14ac:dyDescent="0.35">
      <c r="A5">
        <v>4</v>
      </c>
      <c r="B5">
        <v>15.9658852448026</v>
      </c>
      <c r="C5">
        <v>1.6103882111674499</v>
      </c>
      <c r="D5">
        <v>988.27224663632398</v>
      </c>
      <c r="E5">
        <v>8307.7715865800801</v>
      </c>
      <c r="F5">
        <v>0.118957561162698</v>
      </c>
      <c r="G5">
        <v>168.09324033610201</v>
      </c>
      <c r="H5">
        <v>450.57652703085301</v>
      </c>
      <c r="I5">
        <v>37.204585074926698</v>
      </c>
    </row>
    <row r="6" spans="1:9" x14ac:dyDescent="0.35">
      <c r="F6" s="1" t="s">
        <v>9</v>
      </c>
      <c r="G6" s="1">
        <f>SUM(G2:G5)</f>
        <v>257.39297111804842</v>
      </c>
      <c r="H6" s="1">
        <f t="shared" ref="H6:I6" si="0">SUM(H2:H5)</f>
        <v>681.36468372921502</v>
      </c>
      <c r="I6" s="1">
        <f t="shared" si="0"/>
        <v>139.02857295026399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>
      <selection sqref="A1:I1048576"/>
    </sheetView>
  </sheetViews>
  <sheetFormatPr defaultRowHeight="14.5" x14ac:dyDescent="0.35"/>
  <cols>
    <col min="1" max="1" width="5.7265625" bestFit="1" customWidth="1"/>
    <col min="2" max="2" width="15.08984375" bestFit="1" customWidth="1"/>
    <col min="3" max="3" width="12.08984375" bestFit="1" customWidth="1"/>
    <col min="4" max="4" width="11.81640625" bestFit="1" customWidth="1"/>
    <col min="5" max="5" width="14.1796875" bestFit="1" customWidth="1"/>
    <col min="6" max="6" width="14.81640625" bestFit="1" customWidth="1"/>
    <col min="7" max="7" width="19.1796875" bestFit="1" customWidth="1"/>
    <col min="8" max="8" width="20.1796875" bestFit="1" customWidth="1"/>
    <col min="9" max="9" width="11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11.189593827459699</v>
      </c>
      <c r="C2">
        <v>0.37007675863376599</v>
      </c>
      <c r="D2">
        <v>2856.13909484131</v>
      </c>
      <c r="E2">
        <v>8307.7715865800801</v>
      </c>
      <c r="F2">
        <v>0.3437912399343</v>
      </c>
      <c r="G2">
        <v>10.8505853025394</v>
      </c>
      <c r="H2">
        <v>25.680554548560799</v>
      </c>
      <c r="I2">
        <v>21.3000445668841</v>
      </c>
    </row>
    <row r="3" spans="1:9" x14ac:dyDescent="0.35">
      <c r="A3">
        <v>2</v>
      </c>
      <c r="B3">
        <v>8.2041877516252804</v>
      </c>
      <c r="C3">
        <v>0.86149004766085002</v>
      </c>
      <c r="D3">
        <v>397.97272987246299</v>
      </c>
      <c r="E3">
        <v>8307.7715865800801</v>
      </c>
      <c r="F3">
        <v>4.7903667755541897E-2</v>
      </c>
      <c r="G3">
        <v>49.507444626477003</v>
      </c>
      <c r="H3">
        <v>130.32903885948701</v>
      </c>
      <c r="I3">
        <v>6.9089639302923498</v>
      </c>
    </row>
    <row r="4" spans="1:9" x14ac:dyDescent="0.35">
      <c r="A4">
        <v>3</v>
      </c>
      <c r="B4">
        <v>12.849772963684799</v>
      </c>
      <c r="C4">
        <v>0.66097650451516599</v>
      </c>
      <c r="D4">
        <v>2561.9436097725202</v>
      </c>
      <c r="E4">
        <v>8307.7715865800801</v>
      </c>
      <c r="F4">
        <v>0.30837915836671997</v>
      </c>
      <c r="G4">
        <v>29.970080608380201</v>
      </c>
      <c r="H4">
        <v>77.525034814733999</v>
      </c>
      <c r="I4">
        <v>34.1243930085367</v>
      </c>
    </row>
    <row r="5" spans="1:9" x14ac:dyDescent="0.35">
      <c r="A5">
        <v>4</v>
      </c>
      <c r="B5">
        <v>15.9658852448026</v>
      </c>
      <c r="C5">
        <v>1.6103882111674499</v>
      </c>
      <c r="D5">
        <v>988.27224663632398</v>
      </c>
      <c r="E5">
        <v>8307.7715865800801</v>
      </c>
      <c r="F5">
        <v>0.118957561162698</v>
      </c>
      <c r="G5">
        <v>168.09324033610201</v>
      </c>
      <c r="H5">
        <v>450.57652703085301</v>
      </c>
      <c r="I5">
        <v>32.0712973680223</v>
      </c>
    </row>
    <row r="6" spans="1:9" x14ac:dyDescent="0.35">
      <c r="A6">
        <v>5</v>
      </c>
      <c r="B6">
        <v>9.9304100174222505</v>
      </c>
      <c r="C6">
        <v>0.293949862749732</v>
      </c>
      <c r="D6">
        <v>1503.44390545745</v>
      </c>
      <c r="E6">
        <v>8307.7715865800801</v>
      </c>
      <c r="F6">
        <v>0.18096837278073899</v>
      </c>
      <c r="G6">
        <v>7.6712406915250897</v>
      </c>
      <c r="H6">
        <v>16.969002679223401</v>
      </c>
      <c r="I6">
        <v>8.9057364190245707</v>
      </c>
    </row>
    <row r="7" spans="1:9" x14ac:dyDescent="0.35">
      <c r="F7" s="1" t="s">
        <v>9</v>
      </c>
      <c r="G7" s="1">
        <f>SUM(G2:G6)</f>
        <v>266.09259156502372</v>
      </c>
      <c r="H7" s="1">
        <f t="shared" ref="H7:I7" si="0">SUM(H2:H6)</f>
        <v>701.08015793285824</v>
      </c>
      <c r="I7" s="1">
        <f t="shared" si="0"/>
        <v>103.31043529276002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results_combined</vt:lpstr>
      <vt:lpstr>strata3_results</vt:lpstr>
      <vt:lpstr>strata4_results</vt:lpstr>
      <vt:lpstr>strata5_results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Lesley Atwood</cp:lastModifiedBy>
  <dcterms:created xsi:type="dcterms:W3CDTF">2022-07-19T15:59:23Z</dcterms:created>
  <dcterms:modified xsi:type="dcterms:W3CDTF">2022-07-19T16:01:25Z</dcterms:modified>
</cp:coreProperties>
</file>